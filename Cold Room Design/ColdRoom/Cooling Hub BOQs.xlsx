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2025\Munakyalo Agrofresh\PROJECT\ENACCESS\Lenny\SUBMISSION\"/>
    </mc:Choice>
  </mc:AlternateContent>
  <xr:revisionPtr revIDLastSave="0" documentId="13_ncr:1_{A56251C4-EC67-4BF7-AE24-DF9D7695FAE5}" xr6:coauthVersionLast="47" xr6:coauthVersionMax="47" xr10:uidLastSave="{00000000-0000-0000-0000-000000000000}"/>
  <bookViews>
    <workbookView xWindow="-120" yWindow="-120" windowWidth="20730" windowHeight="11040" tabRatio="695" xr2:uid="{00000000-000D-0000-FFFF-FFFF00000000}"/>
  </bookViews>
  <sheets>
    <sheet name="FarmFreeze" sheetId="20" r:id="rId1"/>
  </sheets>
  <definedNames>
    <definedName name="_xlnm.Print_Area" localSheetId="0">FarmFreeze!$B$2:$H$47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20" l="1"/>
  <c r="G23" i="20"/>
  <c r="H23" i="20" s="1"/>
  <c r="G8" i="20"/>
  <c r="H8" i="20" s="1"/>
  <c r="G9" i="20"/>
  <c r="H9" i="20" s="1"/>
  <c r="G10" i="20"/>
  <c r="H10" i="20" s="1"/>
  <c r="G11" i="20"/>
  <c r="H11" i="20" s="1"/>
  <c r="G12" i="20"/>
  <c r="H12" i="20" s="1"/>
  <c r="G13" i="20"/>
  <c r="H13" i="20" s="1"/>
  <c r="G14" i="20"/>
  <c r="H14" i="20" s="1"/>
  <c r="G15" i="20"/>
  <c r="H15" i="20" s="1"/>
  <c r="G16" i="20"/>
  <c r="H16" i="20" s="1"/>
  <c r="G37" i="20"/>
  <c r="H37" i="20" s="1"/>
  <c r="G17" i="20"/>
  <c r="H17" i="20" s="1"/>
  <c r="G18" i="20"/>
  <c r="H18" i="20" s="1"/>
  <c r="G19" i="20"/>
  <c r="H19" i="20" s="1"/>
  <c r="G20" i="20"/>
  <c r="H20" i="20" s="1"/>
  <c r="G21" i="20"/>
  <c r="H21" i="20" s="1"/>
  <c r="G22" i="20"/>
  <c r="H22" i="20" s="1"/>
  <c r="G26" i="20"/>
  <c r="H26" i="20" s="1"/>
  <c r="G27" i="20"/>
  <c r="H27" i="20" s="1"/>
  <c r="G28" i="20"/>
  <c r="H28" i="20" s="1"/>
  <c r="G29" i="20"/>
  <c r="H29" i="20" s="1"/>
  <c r="G30" i="20"/>
  <c r="H30" i="20" s="1"/>
  <c r="G31" i="20"/>
  <c r="H31" i="20" s="1"/>
  <c r="G32" i="20"/>
  <c r="H32" i="20" s="1"/>
  <c r="G33" i="20"/>
  <c r="H33" i="20" s="1"/>
  <c r="H34" i="20"/>
  <c r="G35" i="20"/>
  <c r="H35" i="20" s="1"/>
  <c r="G36" i="20"/>
  <c r="H36" i="20" s="1"/>
  <c r="H39" i="20" l="1"/>
  <c r="H41" i="20" s="1"/>
  <c r="H43" i="20" s="1"/>
  <c r="H45" i="20" s="1"/>
  <c r="G39" i="20" l="1"/>
  <c r="H47" i="20"/>
  <c r="G41" i="20" l="1"/>
  <c r="G43" i="20" s="1"/>
  <c r="G45" i="20" s="1"/>
  <c r="G47" i="20" s="1"/>
</calcChain>
</file>

<file path=xl/sharedStrings.xml><?xml version="1.0" encoding="utf-8"?>
<sst xmlns="http://schemas.openxmlformats.org/spreadsheetml/2006/main" count="66" uniqueCount="48">
  <si>
    <t>A</t>
  </si>
  <si>
    <t>B</t>
  </si>
  <si>
    <t>C</t>
  </si>
  <si>
    <t>D</t>
  </si>
  <si>
    <t>E</t>
  </si>
  <si>
    <t>F</t>
  </si>
  <si>
    <t>Description</t>
  </si>
  <si>
    <t>Unit</t>
  </si>
  <si>
    <t>Qty</t>
  </si>
  <si>
    <t>Sub Total 1</t>
  </si>
  <si>
    <t>Grand Total</t>
  </si>
  <si>
    <t>Batteries</t>
  </si>
  <si>
    <t>Sn</t>
  </si>
  <si>
    <t>No.</t>
  </si>
  <si>
    <t>20ft Container</t>
  </si>
  <si>
    <t>Storage crates (HDPE)</t>
  </si>
  <si>
    <t>Ls</t>
  </si>
  <si>
    <t>Insulation Membrane</t>
  </si>
  <si>
    <t>External Works</t>
  </si>
  <si>
    <t>Latrine (02 Stance)</t>
  </si>
  <si>
    <t>Office &amp; Guard House</t>
  </si>
  <si>
    <t>Compound Works</t>
  </si>
  <si>
    <t>Solar System</t>
  </si>
  <si>
    <t>Internal Members</t>
  </si>
  <si>
    <t>Solar Panels</t>
  </si>
  <si>
    <t>Solar Rack</t>
  </si>
  <si>
    <t>Gates &amp; Fence</t>
  </si>
  <si>
    <t>Inverter</t>
  </si>
  <si>
    <t>Approval &amp; Permits</t>
  </si>
  <si>
    <t>Cooling System</t>
  </si>
  <si>
    <t>Axial fans</t>
  </si>
  <si>
    <t>Compressor</t>
  </si>
  <si>
    <t>Cooling fans</t>
  </si>
  <si>
    <t>Add; 5% Contigency</t>
  </si>
  <si>
    <t>Add; 18% VAT</t>
  </si>
  <si>
    <t>Sub Total 2</t>
  </si>
  <si>
    <t xml:space="preserve">BUDGET FOR THE SETTING UP OF A COOLING HUB </t>
  </si>
  <si>
    <t>Rate (Ugx)</t>
  </si>
  <si>
    <t>Amount (Ugx)</t>
  </si>
  <si>
    <t>Amount (Usd)</t>
  </si>
  <si>
    <t>All rates and prices will be dependent on the local market prices.</t>
  </si>
  <si>
    <t>Rain water System</t>
  </si>
  <si>
    <t>Earthing, lightening arrestor and other accessories</t>
  </si>
  <si>
    <t>Transport, loading and offloading</t>
  </si>
  <si>
    <t>Structure</t>
  </si>
  <si>
    <t>Container foundation</t>
  </si>
  <si>
    <t>Acquisition of local building permit</t>
  </si>
  <si>
    <t>Electric control panel and componets (IOT system)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</si>
</sst>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$_-;\-* #,##0_$_-;_-* &quot;-&quot;??_$_-;_-@_-"/>
    <numFmt numFmtId="167" formatCode="#,##0&quot;/=&quot;"/>
    <numFmt numFmtId="168" formatCode="_-* #,##0.000000_-;\-* #,##0.000000_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Genev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43" fontId="1" fillId="0" borderId="0" applyFont="0" applyFill="0" applyBorder="0" applyAlignment="0" applyProtection="0"/>
    <xf numFmtId="0" fontId="2" fillId="0" borderId="0">
      <alignment horizontal="justify"/>
    </xf>
    <xf numFmtId="43" fontId="2" fillId="0" borderId="0" applyFont="0" applyFill="0" applyBorder="0" applyProtection="0">
      <alignment vertical="top"/>
    </xf>
    <xf numFmtId="9" fontId="2" fillId="0" borderId="0" applyFont="0" applyFill="0" applyBorder="0" applyAlignment="0" applyProtection="0"/>
    <xf numFmtId="0" fontId="2" fillId="0" borderId="0"/>
    <xf numFmtId="0" fontId="2" fillId="0" borderId="0">
      <alignment horizontal="justify" vertical="top" wrapText="1"/>
    </xf>
    <xf numFmtId="43" fontId="2" fillId="0" borderId="0" applyFont="0" applyFill="0" applyBorder="0" applyProtection="0">
      <alignment vertical="top"/>
    </xf>
    <xf numFmtId="0" fontId="2" fillId="0" borderId="0">
      <alignment vertical="center"/>
    </xf>
    <xf numFmtId="164" fontId="2" fillId="0" borderId="0">
      <protection locked="0"/>
    </xf>
    <xf numFmtId="164" fontId="2" fillId="0" borderId="0">
      <protection locked="0"/>
    </xf>
    <xf numFmtId="164" fontId="2" fillId="0" borderId="0">
      <protection locked="0"/>
    </xf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3" fontId="5" fillId="0" borderId="0"/>
    <xf numFmtId="168" fontId="2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3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166" fontId="4" fillId="0" borderId="1" xfId="12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horizontal="center" vertical="top" wrapText="1"/>
    </xf>
    <xf numFmtId="165" fontId="4" fillId="0" borderId="1" xfId="1" applyNumberFormat="1" applyFont="1" applyBorder="1" applyAlignment="1">
      <alignment horizontal="center" vertical="top" wrapText="1"/>
    </xf>
    <xf numFmtId="166" fontId="3" fillId="0" borderId="2" xfId="12" applyNumberFormat="1" applyFont="1" applyBorder="1" applyAlignment="1">
      <alignment vertical="top" wrapText="1"/>
    </xf>
    <xf numFmtId="167" fontId="3" fillId="0" borderId="2" xfId="12" applyNumberFormat="1" applyFont="1" applyBorder="1" applyAlignment="1">
      <alignment horizontal="right" vertical="top" wrapText="1"/>
    </xf>
    <xf numFmtId="165" fontId="3" fillId="0" borderId="2" xfId="1" applyNumberFormat="1" applyFont="1" applyBorder="1" applyAlignment="1">
      <alignment horizontal="right" vertical="top" wrapText="1"/>
    </xf>
    <xf numFmtId="165" fontId="3" fillId="0" borderId="2" xfId="1" applyNumberFormat="1" applyFont="1" applyFill="1" applyBorder="1" applyAlignment="1">
      <alignment horizontal="right" vertical="top" wrapText="1"/>
    </xf>
    <xf numFmtId="166" fontId="3" fillId="0" borderId="3" xfId="12" applyNumberFormat="1" applyFont="1" applyBorder="1" applyAlignment="1">
      <alignment vertical="top" wrapText="1"/>
    </xf>
    <xf numFmtId="165" fontId="3" fillId="0" borderId="3" xfId="1" applyNumberFormat="1" applyFont="1" applyFill="1" applyBorder="1" applyAlignment="1">
      <alignment horizontal="right" vertical="top" wrapText="1"/>
    </xf>
    <xf numFmtId="165" fontId="3" fillId="0" borderId="3" xfId="1" applyNumberFormat="1" applyFont="1" applyBorder="1" applyAlignment="1">
      <alignment horizontal="right" vertical="top" wrapText="1"/>
    </xf>
    <xf numFmtId="0" fontId="4" fillId="0" borderId="0" xfId="0" applyFont="1" applyAlignment="1">
      <alignment vertical="top" wrapText="1"/>
    </xf>
    <xf numFmtId="166" fontId="4" fillId="0" borderId="3" xfId="12" applyNumberFormat="1" applyFont="1" applyBorder="1" applyAlignment="1">
      <alignment vertical="top" wrapText="1"/>
    </xf>
    <xf numFmtId="165" fontId="4" fillId="0" borderId="3" xfId="1" applyNumberFormat="1" applyFont="1" applyFill="1" applyBorder="1" applyAlignment="1">
      <alignment horizontal="right" vertical="top" wrapText="1"/>
    </xf>
    <xf numFmtId="165" fontId="4" fillId="0" borderId="3" xfId="1" applyNumberFormat="1" applyFont="1" applyBorder="1" applyAlignment="1">
      <alignment horizontal="right" vertical="top" wrapText="1"/>
    </xf>
    <xf numFmtId="166" fontId="3" fillId="0" borderId="0" xfId="12" applyNumberFormat="1" applyFont="1" applyBorder="1" applyAlignment="1">
      <alignment vertical="top" wrapText="1"/>
    </xf>
    <xf numFmtId="165" fontId="3" fillId="0" borderId="0" xfId="1" applyNumberFormat="1" applyFont="1" applyBorder="1" applyAlignment="1">
      <alignment vertical="top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166" fontId="3" fillId="2" borderId="2" xfId="12" applyNumberFormat="1" applyFont="1" applyFill="1" applyBorder="1" applyAlignment="1">
      <alignment vertical="top" wrapText="1"/>
    </xf>
    <xf numFmtId="165" fontId="3" fillId="2" borderId="2" xfId="1" applyNumberFormat="1" applyFont="1" applyFill="1" applyBorder="1" applyAlignment="1">
      <alignment horizontal="right" vertical="top" wrapText="1"/>
    </xf>
  </cellXfs>
  <cellStyles count="20">
    <cellStyle name="Comma" xfId="1" builtinId="3"/>
    <cellStyle name="Comma 10" xfId="3" xr:uid="{54E94483-22CC-4B05-9F8F-18616D80E83F}"/>
    <cellStyle name="Comma 10 2 3" xfId="11" xr:uid="{37C75C9C-57F6-4143-B789-F4B765841584}"/>
    <cellStyle name="Comma 11" xfId="19" xr:uid="{18CDE3F3-E85B-4E05-AA03-34B7BCD23623}"/>
    <cellStyle name="Comma 14 2" xfId="16" xr:uid="{F7178E9E-54C6-42B9-8B73-49F63836FCCC}"/>
    <cellStyle name="Comma 2" xfId="12" xr:uid="{C50593BB-0B68-4028-B7EB-C52E0FABBBDA}"/>
    <cellStyle name="Comma 2 10 2 3" xfId="10" xr:uid="{30819FA0-87C2-4382-85E2-1895CC65BDD7}"/>
    <cellStyle name="Comma 2 2 2" xfId="17" xr:uid="{73287B1F-2EB2-41C2-A7D2-7BEEE52B3639}"/>
    <cellStyle name="Comma 2 2 3" xfId="15" xr:uid="{9F566C16-0A9D-4BB9-A19F-621C6C914E9B}"/>
    <cellStyle name="Comma 3" xfId="9" xr:uid="{23FB316D-5903-42C1-A885-E900956DE294}"/>
    <cellStyle name="Comma 5 10 8" xfId="7" xr:uid="{13BD8124-E9D6-4899-B3E7-20012CAB40C6}"/>
    <cellStyle name="Comma0" xfId="18" xr:uid="{3616F6D7-6C3E-4348-B795-22E57BDE8830}"/>
    <cellStyle name="Normal" xfId="0" builtinId="0"/>
    <cellStyle name="Normal 10 2 2 2" xfId="2" xr:uid="{44BD03B3-C630-4FA9-AB47-3F1526395FC0}"/>
    <cellStyle name="Normal 2" xfId="5" xr:uid="{64F43ACD-C4D9-421E-B95C-BB3B6098AAEE}"/>
    <cellStyle name="Normal 3" xfId="8" xr:uid="{9BC4DB41-56F0-47C3-B763-3AB1F96B937F}"/>
    <cellStyle name="Normal 5" xfId="6" xr:uid="{D46E967A-BE3A-4567-95AB-CC96F59EF9F7}"/>
    <cellStyle name="Normal 6 5 8 2" xfId="13" xr:uid="{94EE10A1-FAFE-4B96-904A-64A8E135A181}"/>
    <cellStyle name="Normal 6 5 8 3" xfId="14" xr:uid="{43D2E6A9-7208-454B-B623-818C5E0365C5}"/>
    <cellStyle name="Percent 2" xfId="4" xr:uid="{8D983E40-7A09-4FE1-A87A-DF15FD7F82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511296</xdr:colOff>
      <xdr:row>1</xdr:row>
      <xdr:rowOff>85246</xdr:rowOff>
    </xdr:from>
    <xdr:to>
      <xdr:col>7</xdr:col>
      <xdr:colOff>569164</xdr:colOff>
      <xdr:row>1</xdr:row>
      <xdr:rowOff>533386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D9CE70-9C45-A3DC-5885-338881E1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5221" y="275746"/>
          <a:ext cx="981793" cy="44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2F08-D49C-4026-A4BA-5DD98C45F39B}">
  <dimension ref="B2:H48"/>
  <sheetViews>
    <sheetView tabSelected="1" view="pageBreakPreview" zoomScaleNormal="100" zoomScaleSheetLayoutView="100" workbookViewId="0">
      <selection activeCell="J44" sqref="J44"/>
    </sheetView>
  </sheetViews>
  <sheetFormatPr defaultColWidth="8.85546875" defaultRowHeight="15"/>
  <cols>
    <col min="1" max="1" width="8.85546875" style="2"/>
    <col min="2" max="2" width="5.140625" style="1" customWidth="1"/>
    <col min="3" max="3" width="33.28515625" style="2" customWidth="1"/>
    <col min="4" max="4" width="5.5703125" style="1" customWidth="1"/>
    <col min="5" max="5" width="7.140625" style="26" customWidth="1"/>
    <col min="6" max="6" width="11" style="26" customWidth="1"/>
    <col min="7" max="7" width="13.85546875" style="27" customWidth="1"/>
    <col min="8" max="8" width="10.5703125" style="27" customWidth="1"/>
    <col min="9" max="9" width="37.5703125" style="2" customWidth="1"/>
    <col min="10" max="10" width="12.28515625" style="2" bestFit="1" customWidth="1"/>
    <col min="11" max="257" width="8.85546875" style="2"/>
    <col min="258" max="258" width="7.7109375" style="2" customWidth="1"/>
    <col min="259" max="259" width="41.140625" style="2" customWidth="1"/>
    <col min="260" max="260" width="7.28515625" style="2" customWidth="1"/>
    <col min="261" max="261" width="7.140625" style="2" customWidth="1"/>
    <col min="262" max="262" width="12.28515625" style="2" customWidth="1"/>
    <col min="263" max="263" width="18.7109375" style="2" customWidth="1"/>
    <col min="264" max="513" width="8.85546875" style="2"/>
    <col min="514" max="514" width="7.7109375" style="2" customWidth="1"/>
    <col min="515" max="515" width="41.140625" style="2" customWidth="1"/>
    <col min="516" max="516" width="7.28515625" style="2" customWidth="1"/>
    <col min="517" max="517" width="7.140625" style="2" customWidth="1"/>
    <col min="518" max="518" width="12.28515625" style="2" customWidth="1"/>
    <col min="519" max="519" width="18.7109375" style="2" customWidth="1"/>
    <col min="520" max="769" width="8.85546875" style="2"/>
    <col min="770" max="770" width="7.7109375" style="2" customWidth="1"/>
    <col min="771" max="771" width="41.140625" style="2" customWidth="1"/>
    <col min="772" max="772" width="7.28515625" style="2" customWidth="1"/>
    <col min="773" max="773" width="7.140625" style="2" customWidth="1"/>
    <col min="774" max="774" width="12.28515625" style="2" customWidth="1"/>
    <col min="775" max="775" width="18.7109375" style="2" customWidth="1"/>
    <col min="776" max="1025" width="8.85546875" style="2"/>
    <col min="1026" max="1026" width="7.7109375" style="2" customWidth="1"/>
    <col min="1027" max="1027" width="41.140625" style="2" customWidth="1"/>
    <col min="1028" max="1028" width="7.28515625" style="2" customWidth="1"/>
    <col min="1029" max="1029" width="7.140625" style="2" customWidth="1"/>
    <col min="1030" max="1030" width="12.28515625" style="2" customWidth="1"/>
    <col min="1031" max="1031" width="18.7109375" style="2" customWidth="1"/>
    <col min="1032" max="1281" width="8.85546875" style="2"/>
    <col min="1282" max="1282" width="7.7109375" style="2" customWidth="1"/>
    <col min="1283" max="1283" width="41.140625" style="2" customWidth="1"/>
    <col min="1284" max="1284" width="7.28515625" style="2" customWidth="1"/>
    <col min="1285" max="1285" width="7.140625" style="2" customWidth="1"/>
    <col min="1286" max="1286" width="12.28515625" style="2" customWidth="1"/>
    <col min="1287" max="1287" width="18.7109375" style="2" customWidth="1"/>
    <col min="1288" max="1537" width="8.85546875" style="2"/>
    <col min="1538" max="1538" width="7.7109375" style="2" customWidth="1"/>
    <col min="1539" max="1539" width="41.140625" style="2" customWidth="1"/>
    <col min="1540" max="1540" width="7.28515625" style="2" customWidth="1"/>
    <col min="1541" max="1541" width="7.140625" style="2" customWidth="1"/>
    <col min="1542" max="1542" width="12.28515625" style="2" customWidth="1"/>
    <col min="1543" max="1543" width="18.7109375" style="2" customWidth="1"/>
    <col min="1544" max="1793" width="8.85546875" style="2"/>
    <col min="1794" max="1794" width="7.7109375" style="2" customWidth="1"/>
    <col min="1795" max="1795" width="41.140625" style="2" customWidth="1"/>
    <col min="1796" max="1796" width="7.28515625" style="2" customWidth="1"/>
    <col min="1797" max="1797" width="7.140625" style="2" customWidth="1"/>
    <col min="1798" max="1798" width="12.28515625" style="2" customWidth="1"/>
    <col min="1799" max="1799" width="18.7109375" style="2" customWidth="1"/>
    <col min="1800" max="2049" width="8.85546875" style="2"/>
    <col min="2050" max="2050" width="7.7109375" style="2" customWidth="1"/>
    <col min="2051" max="2051" width="41.140625" style="2" customWidth="1"/>
    <col min="2052" max="2052" width="7.28515625" style="2" customWidth="1"/>
    <col min="2053" max="2053" width="7.140625" style="2" customWidth="1"/>
    <col min="2054" max="2054" width="12.28515625" style="2" customWidth="1"/>
    <col min="2055" max="2055" width="18.7109375" style="2" customWidth="1"/>
    <col min="2056" max="2305" width="8.85546875" style="2"/>
    <col min="2306" max="2306" width="7.7109375" style="2" customWidth="1"/>
    <col min="2307" max="2307" width="41.140625" style="2" customWidth="1"/>
    <col min="2308" max="2308" width="7.28515625" style="2" customWidth="1"/>
    <col min="2309" max="2309" width="7.140625" style="2" customWidth="1"/>
    <col min="2310" max="2310" width="12.28515625" style="2" customWidth="1"/>
    <col min="2311" max="2311" width="18.7109375" style="2" customWidth="1"/>
    <col min="2312" max="2561" width="8.85546875" style="2"/>
    <col min="2562" max="2562" width="7.7109375" style="2" customWidth="1"/>
    <col min="2563" max="2563" width="41.140625" style="2" customWidth="1"/>
    <col min="2564" max="2564" width="7.28515625" style="2" customWidth="1"/>
    <col min="2565" max="2565" width="7.140625" style="2" customWidth="1"/>
    <col min="2566" max="2566" width="12.28515625" style="2" customWidth="1"/>
    <col min="2567" max="2567" width="18.7109375" style="2" customWidth="1"/>
    <col min="2568" max="2817" width="8.85546875" style="2"/>
    <col min="2818" max="2818" width="7.7109375" style="2" customWidth="1"/>
    <col min="2819" max="2819" width="41.140625" style="2" customWidth="1"/>
    <col min="2820" max="2820" width="7.28515625" style="2" customWidth="1"/>
    <col min="2821" max="2821" width="7.140625" style="2" customWidth="1"/>
    <col min="2822" max="2822" width="12.28515625" style="2" customWidth="1"/>
    <col min="2823" max="2823" width="18.7109375" style="2" customWidth="1"/>
    <col min="2824" max="3073" width="8.85546875" style="2"/>
    <col min="3074" max="3074" width="7.7109375" style="2" customWidth="1"/>
    <col min="3075" max="3075" width="41.140625" style="2" customWidth="1"/>
    <col min="3076" max="3076" width="7.28515625" style="2" customWidth="1"/>
    <col min="3077" max="3077" width="7.140625" style="2" customWidth="1"/>
    <col min="3078" max="3078" width="12.28515625" style="2" customWidth="1"/>
    <col min="3079" max="3079" width="18.7109375" style="2" customWidth="1"/>
    <col min="3080" max="3329" width="8.85546875" style="2"/>
    <col min="3330" max="3330" width="7.7109375" style="2" customWidth="1"/>
    <col min="3331" max="3331" width="41.140625" style="2" customWidth="1"/>
    <col min="3332" max="3332" width="7.28515625" style="2" customWidth="1"/>
    <col min="3333" max="3333" width="7.140625" style="2" customWidth="1"/>
    <col min="3334" max="3334" width="12.28515625" style="2" customWidth="1"/>
    <col min="3335" max="3335" width="18.7109375" style="2" customWidth="1"/>
    <col min="3336" max="3585" width="8.85546875" style="2"/>
    <col min="3586" max="3586" width="7.7109375" style="2" customWidth="1"/>
    <col min="3587" max="3587" width="41.140625" style="2" customWidth="1"/>
    <col min="3588" max="3588" width="7.28515625" style="2" customWidth="1"/>
    <col min="3589" max="3589" width="7.140625" style="2" customWidth="1"/>
    <col min="3590" max="3590" width="12.28515625" style="2" customWidth="1"/>
    <col min="3591" max="3591" width="18.7109375" style="2" customWidth="1"/>
    <col min="3592" max="3841" width="8.85546875" style="2"/>
    <col min="3842" max="3842" width="7.7109375" style="2" customWidth="1"/>
    <col min="3843" max="3843" width="41.140625" style="2" customWidth="1"/>
    <col min="3844" max="3844" width="7.28515625" style="2" customWidth="1"/>
    <col min="3845" max="3845" width="7.140625" style="2" customWidth="1"/>
    <col min="3846" max="3846" width="12.28515625" style="2" customWidth="1"/>
    <col min="3847" max="3847" width="18.7109375" style="2" customWidth="1"/>
    <col min="3848" max="4097" width="8.85546875" style="2"/>
    <col min="4098" max="4098" width="7.7109375" style="2" customWidth="1"/>
    <col min="4099" max="4099" width="41.140625" style="2" customWidth="1"/>
    <col min="4100" max="4100" width="7.28515625" style="2" customWidth="1"/>
    <col min="4101" max="4101" width="7.140625" style="2" customWidth="1"/>
    <col min="4102" max="4102" width="12.28515625" style="2" customWidth="1"/>
    <col min="4103" max="4103" width="18.7109375" style="2" customWidth="1"/>
    <col min="4104" max="4353" width="8.85546875" style="2"/>
    <col min="4354" max="4354" width="7.7109375" style="2" customWidth="1"/>
    <col min="4355" max="4355" width="41.140625" style="2" customWidth="1"/>
    <col min="4356" max="4356" width="7.28515625" style="2" customWidth="1"/>
    <col min="4357" max="4357" width="7.140625" style="2" customWidth="1"/>
    <col min="4358" max="4358" width="12.28515625" style="2" customWidth="1"/>
    <col min="4359" max="4359" width="18.7109375" style="2" customWidth="1"/>
    <col min="4360" max="4609" width="8.85546875" style="2"/>
    <col min="4610" max="4610" width="7.7109375" style="2" customWidth="1"/>
    <col min="4611" max="4611" width="41.140625" style="2" customWidth="1"/>
    <col min="4612" max="4612" width="7.28515625" style="2" customWidth="1"/>
    <col min="4613" max="4613" width="7.140625" style="2" customWidth="1"/>
    <col min="4614" max="4614" width="12.28515625" style="2" customWidth="1"/>
    <col min="4615" max="4615" width="18.7109375" style="2" customWidth="1"/>
    <col min="4616" max="4865" width="8.85546875" style="2"/>
    <col min="4866" max="4866" width="7.7109375" style="2" customWidth="1"/>
    <col min="4867" max="4867" width="41.140625" style="2" customWidth="1"/>
    <col min="4868" max="4868" width="7.28515625" style="2" customWidth="1"/>
    <col min="4869" max="4869" width="7.140625" style="2" customWidth="1"/>
    <col min="4870" max="4870" width="12.28515625" style="2" customWidth="1"/>
    <col min="4871" max="4871" width="18.7109375" style="2" customWidth="1"/>
    <col min="4872" max="5121" width="8.85546875" style="2"/>
    <col min="5122" max="5122" width="7.7109375" style="2" customWidth="1"/>
    <col min="5123" max="5123" width="41.140625" style="2" customWidth="1"/>
    <col min="5124" max="5124" width="7.28515625" style="2" customWidth="1"/>
    <col min="5125" max="5125" width="7.140625" style="2" customWidth="1"/>
    <col min="5126" max="5126" width="12.28515625" style="2" customWidth="1"/>
    <col min="5127" max="5127" width="18.7109375" style="2" customWidth="1"/>
    <col min="5128" max="5377" width="8.85546875" style="2"/>
    <col min="5378" max="5378" width="7.7109375" style="2" customWidth="1"/>
    <col min="5379" max="5379" width="41.140625" style="2" customWidth="1"/>
    <col min="5380" max="5380" width="7.28515625" style="2" customWidth="1"/>
    <col min="5381" max="5381" width="7.140625" style="2" customWidth="1"/>
    <col min="5382" max="5382" width="12.28515625" style="2" customWidth="1"/>
    <col min="5383" max="5383" width="18.7109375" style="2" customWidth="1"/>
    <col min="5384" max="5633" width="8.85546875" style="2"/>
    <col min="5634" max="5634" width="7.7109375" style="2" customWidth="1"/>
    <col min="5635" max="5635" width="41.140625" style="2" customWidth="1"/>
    <col min="5636" max="5636" width="7.28515625" style="2" customWidth="1"/>
    <col min="5637" max="5637" width="7.140625" style="2" customWidth="1"/>
    <col min="5638" max="5638" width="12.28515625" style="2" customWidth="1"/>
    <col min="5639" max="5639" width="18.7109375" style="2" customWidth="1"/>
    <col min="5640" max="5889" width="8.85546875" style="2"/>
    <col min="5890" max="5890" width="7.7109375" style="2" customWidth="1"/>
    <col min="5891" max="5891" width="41.140625" style="2" customWidth="1"/>
    <col min="5892" max="5892" width="7.28515625" style="2" customWidth="1"/>
    <col min="5893" max="5893" width="7.140625" style="2" customWidth="1"/>
    <col min="5894" max="5894" width="12.28515625" style="2" customWidth="1"/>
    <col min="5895" max="5895" width="18.7109375" style="2" customWidth="1"/>
    <col min="5896" max="6145" width="8.85546875" style="2"/>
    <col min="6146" max="6146" width="7.7109375" style="2" customWidth="1"/>
    <col min="6147" max="6147" width="41.140625" style="2" customWidth="1"/>
    <col min="6148" max="6148" width="7.28515625" style="2" customWidth="1"/>
    <col min="6149" max="6149" width="7.140625" style="2" customWidth="1"/>
    <col min="6150" max="6150" width="12.28515625" style="2" customWidth="1"/>
    <col min="6151" max="6151" width="18.7109375" style="2" customWidth="1"/>
    <col min="6152" max="6401" width="8.85546875" style="2"/>
    <col min="6402" max="6402" width="7.7109375" style="2" customWidth="1"/>
    <col min="6403" max="6403" width="41.140625" style="2" customWidth="1"/>
    <col min="6404" max="6404" width="7.28515625" style="2" customWidth="1"/>
    <col min="6405" max="6405" width="7.140625" style="2" customWidth="1"/>
    <col min="6406" max="6406" width="12.28515625" style="2" customWidth="1"/>
    <col min="6407" max="6407" width="18.7109375" style="2" customWidth="1"/>
    <col min="6408" max="6657" width="8.85546875" style="2"/>
    <col min="6658" max="6658" width="7.7109375" style="2" customWidth="1"/>
    <col min="6659" max="6659" width="41.140625" style="2" customWidth="1"/>
    <col min="6660" max="6660" width="7.28515625" style="2" customWidth="1"/>
    <col min="6661" max="6661" width="7.140625" style="2" customWidth="1"/>
    <col min="6662" max="6662" width="12.28515625" style="2" customWidth="1"/>
    <col min="6663" max="6663" width="18.7109375" style="2" customWidth="1"/>
    <col min="6664" max="6913" width="8.85546875" style="2"/>
    <col min="6914" max="6914" width="7.7109375" style="2" customWidth="1"/>
    <col min="6915" max="6915" width="41.140625" style="2" customWidth="1"/>
    <col min="6916" max="6916" width="7.28515625" style="2" customWidth="1"/>
    <col min="6917" max="6917" width="7.140625" style="2" customWidth="1"/>
    <col min="6918" max="6918" width="12.28515625" style="2" customWidth="1"/>
    <col min="6919" max="6919" width="18.7109375" style="2" customWidth="1"/>
    <col min="6920" max="7169" width="8.85546875" style="2"/>
    <col min="7170" max="7170" width="7.7109375" style="2" customWidth="1"/>
    <col min="7171" max="7171" width="41.140625" style="2" customWidth="1"/>
    <col min="7172" max="7172" width="7.28515625" style="2" customWidth="1"/>
    <col min="7173" max="7173" width="7.140625" style="2" customWidth="1"/>
    <col min="7174" max="7174" width="12.28515625" style="2" customWidth="1"/>
    <col min="7175" max="7175" width="18.7109375" style="2" customWidth="1"/>
    <col min="7176" max="7425" width="8.85546875" style="2"/>
    <col min="7426" max="7426" width="7.7109375" style="2" customWidth="1"/>
    <col min="7427" max="7427" width="41.140625" style="2" customWidth="1"/>
    <col min="7428" max="7428" width="7.28515625" style="2" customWidth="1"/>
    <col min="7429" max="7429" width="7.140625" style="2" customWidth="1"/>
    <col min="7430" max="7430" width="12.28515625" style="2" customWidth="1"/>
    <col min="7431" max="7431" width="18.7109375" style="2" customWidth="1"/>
    <col min="7432" max="7681" width="8.85546875" style="2"/>
    <col min="7682" max="7682" width="7.7109375" style="2" customWidth="1"/>
    <col min="7683" max="7683" width="41.140625" style="2" customWidth="1"/>
    <col min="7684" max="7684" width="7.28515625" style="2" customWidth="1"/>
    <col min="7685" max="7685" width="7.140625" style="2" customWidth="1"/>
    <col min="7686" max="7686" width="12.28515625" style="2" customWidth="1"/>
    <col min="7687" max="7687" width="18.7109375" style="2" customWidth="1"/>
    <col min="7688" max="7937" width="8.85546875" style="2"/>
    <col min="7938" max="7938" width="7.7109375" style="2" customWidth="1"/>
    <col min="7939" max="7939" width="41.140625" style="2" customWidth="1"/>
    <col min="7940" max="7940" width="7.28515625" style="2" customWidth="1"/>
    <col min="7941" max="7941" width="7.140625" style="2" customWidth="1"/>
    <col min="7942" max="7942" width="12.28515625" style="2" customWidth="1"/>
    <col min="7943" max="7943" width="18.7109375" style="2" customWidth="1"/>
    <col min="7944" max="8193" width="8.85546875" style="2"/>
    <col min="8194" max="8194" width="7.7109375" style="2" customWidth="1"/>
    <col min="8195" max="8195" width="41.140625" style="2" customWidth="1"/>
    <col min="8196" max="8196" width="7.28515625" style="2" customWidth="1"/>
    <col min="8197" max="8197" width="7.140625" style="2" customWidth="1"/>
    <col min="8198" max="8198" width="12.28515625" style="2" customWidth="1"/>
    <col min="8199" max="8199" width="18.7109375" style="2" customWidth="1"/>
    <col min="8200" max="8449" width="8.85546875" style="2"/>
    <col min="8450" max="8450" width="7.7109375" style="2" customWidth="1"/>
    <col min="8451" max="8451" width="41.140625" style="2" customWidth="1"/>
    <col min="8452" max="8452" width="7.28515625" style="2" customWidth="1"/>
    <col min="8453" max="8453" width="7.140625" style="2" customWidth="1"/>
    <col min="8454" max="8454" width="12.28515625" style="2" customWidth="1"/>
    <col min="8455" max="8455" width="18.7109375" style="2" customWidth="1"/>
    <col min="8456" max="8705" width="8.85546875" style="2"/>
    <col min="8706" max="8706" width="7.7109375" style="2" customWidth="1"/>
    <col min="8707" max="8707" width="41.140625" style="2" customWidth="1"/>
    <col min="8708" max="8708" width="7.28515625" style="2" customWidth="1"/>
    <col min="8709" max="8709" width="7.140625" style="2" customWidth="1"/>
    <col min="8710" max="8710" width="12.28515625" style="2" customWidth="1"/>
    <col min="8711" max="8711" width="18.7109375" style="2" customWidth="1"/>
    <col min="8712" max="8961" width="8.85546875" style="2"/>
    <col min="8962" max="8962" width="7.7109375" style="2" customWidth="1"/>
    <col min="8963" max="8963" width="41.140625" style="2" customWidth="1"/>
    <col min="8964" max="8964" width="7.28515625" style="2" customWidth="1"/>
    <col min="8965" max="8965" width="7.140625" style="2" customWidth="1"/>
    <col min="8966" max="8966" width="12.28515625" style="2" customWidth="1"/>
    <col min="8967" max="8967" width="18.7109375" style="2" customWidth="1"/>
    <col min="8968" max="9217" width="8.85546875" style="2"/>
    <col min="9218" max="9218" width="7.7109375" style="2" customWidth="1"/>
    <col min="9219" max="9219" width="41.140625" style="2" customWidth="1"/>
    <col min="9220" max="9220" width="7.28515625" style="2" customWidth="1"/>
    <col min="9221" max="9221" width="7.140625" style="2" customWidth="1"/>
    <col min="9222" max="9222" width="12.28515625" style="2" customWidth="1"/>
    <col min="9223" max="9223" width="18.7109375" style="2" customWidth="1"/>
    <col min="9224" max="9473" width="8.85546875" style="2"/>
    <col min="9474" max="9474" width="7.7109375" style="2" customWidth="1"/>
    <col min="9475" max="9475" width="41.140625" style="2" customWidth="1"/>
    <col min="9476" max="9476" width="7.28515625" style="2" customWidth="1"/>
    <col min="9477" max="9477" width="7.140625" style="2" customWidth="1"/>
    <col min="9478" max="9478" width="12.28515625" style="2" customWidth="1"/>
    <col min="9479" max="9479" width="18.7109375" style="2" customWidth="1"/>
    <col min="9480" max="9729" width="8.85546875" style="2"/>
    <col min="9730" max="9730" width="7.7109375" style="2" customWidth="1"/>
    <col min="9731" max="9731" width="41.140625" style="2" customWidth="1"/>
    <col min="9732" max="9732" width="7.28515625" style="2" customWidth="1"/>
    <col min="9733" max="9733" width="7.140625" style="2" customWidth="1"/>
    <col min="9734" max="9734" width="12.28515625" style="2" customWidth="1"/>
    <col min="9735" max="9735" width="18.7109375" style="2" customWidth="1"/>
    <col min="9736" max="9985" width="8.85546875" style="2"/>
    <col min="9986" max="9986" width="7.7109375" style="2" customWidth="1"/>
    <col min="9987" max="9987" width="41.140625" style="2" customWidth="1"/>
    <col min="9988" max="9988" width="7.28515625" style="2" customWidth="1"/>
    <col min="9989" max="9989" width="7.140625" style="2" customWidth="1"/>
    <col min="9990" max="9990" width="12.28515625" style="2" customWidth="1"/>
    <col min="9991" max="9991" width="18.7109375" style="2" customWidth="1"/>
    <col min="9992" max="10241" width="8.85546875" style="2"/>
    <col min="10242" max="10242" width="7.7109375" style="2" customWidth="1"/>
    <col min="10243" max="10243" width="41.140625" style="2" customWidth="1"/>
    <col min="10244" max="10244" width="7.28515625" style="2" customWidth="1"/>
    <col min="10245" max="10245" width="7.140625" style="2" customWidth="1"/>
    <col min="10246" max="10246" width="12.28515625" style="2" customWidth="1"/>
    <col min="10247" max="10247" width="18.7109375" style="2" customWidth="1"/>
    <col min="10248" max="10497" width="8.85546875" style="2"/>
    <col min="10498" max="10498" width="7.7109375" style="2" customWidth="1"/>
    <col min="10499" max="10499" width="41.140625" style="2" customWidth="1"/>
    <col min="10500" max="10500" width="7.28515625" style="2" customWidth="1"/>
    <col min="10501" max="10501" width="7.140625" style="2" customWidth="1"/>
    <col min="10502" max="10502" width="12.28515625" style="2" customWidth="1"/>
    <col min="10503" max="10503" width="18.7109375" style="2" customWidth="1"/>
    <col min="10504" max="10753" width="8.85546875" style="2"/>
    <col min="10754" max="10754" width="7.7109375" style="2" customWidth="1"/>
    <col min="10755" max="10755" width="41.140625" style="2" customWidth="1"/>
    <col min="10756" max="10756" width="7.28515625" style="2" customWidth="1"/>
    <col min="10757" max="10757" width="7.140625" style="2" customWidth="1"/>
    <col min="10758" max="10758" width="12.28515625" style="2" customWidth="1"/>
    <col min="10759" max="10759" width="18.7109375" style="2" customWidth="1"/>
    <col min="10760" max="11009" width="8.85546875" style="2"/>
    <col min="11010" max="11010" width="7.7109375" style="2" customWidth="1"/>
    <col min="11011" max="11011" width="41.140625" style="2" customWidth="1"/>
    <col min="11012" max="11012" width="7.28515625" style="2" customWidth="1"/>
    <col min="11013" max="11013" width="7.140625" style="2" customWidth="1"/>
    <col min="11014" max="11014" width="12.28515625" style="2" customWidth="1"/>
    <col min="11015" max="11015" width="18.7109375" style="2" customWidth="1"/>
    <col min="11016" max="11265" width="8.85546875" style="2"/>
    <col min="11266" max="11266" width="7.7109375" style="2" customWidth="1"/>
    <col min="11267" max="11267" width="41.140625" style="2" customWidth="1"/>
    <col min="11268" max="11268" width="7.28515625" style="2" customWidth="1"/>
    <col min="11269" max="11269" width="7.140625" style="2" customWidth="1"/>
    <col min="11270" max="11270" width="12.28515625" style="2" customWidth="1"/>
    <col min="11271" max="11271" width="18.7109375" style="2" customWidth="1"/>
    <col min="11272" max="11521" width="8.85546875" style="2"/>
    <col min="11522" max="11522" width="7.7109375" style="2" customWidth="1"/>
    <col min="11523" max="11523" width="41.140625" style="2" customWidth="1"/>
    <col min="11524" max="11524" width="7.28515625" style="2" customWidth="1"/>
    <col min="11525" max="11525" width="7.140625" style="2" customWidth="1"/>
    <col min="11526" max="11526" width="12.28515625" style="2" customWidth="1"/>
    <col min="11527" max="11527" width="18.7109375" style="2" customWidth="1"/>
    <col min="11528" max="11777" width="8.85546875" style="2"/>
    <col min="11778" max="11778" width="7.7109375" style="2" customWidth="1"/>
    <col min="11779" max="11779" width="41.140625" style="2" customWidth="1"/>
    <col min="11780" max="11780" width="7.28515625" style="2" customWidth="1"/>
    <col min="11781" max="11781" width="7.140625" style="2" customWidth="1"/>
    <col min="11782" max="11782" width="12.28515625" style="2" customWidth="1"/>
    <col min="11783" max="11783" width="18.7109375" style="2" customWidth="1"/>
    <col min="11784" max="12033" width="8.85546875" style="2"/>
    <col min="12034" max="12034" width="7.7109375" style="2" customWidth="1"/>
    <col min="12035" max="12035" width="41.140625" style="2" customWidth="1"/>
    <col min="12036" max="12036" width="7.28515625" style="2" customWidth="1"/>
    <col min="12037" max="12037" width="7.140625" style="2" customWidth="1"/>
    <col min="12038" max="12038" width="12.28515625" style="2" customWidth="1"/>
    <col min="12039" max="12039" width="18.7109375" style="2" customWidth="1"/>
    <col min="12040" max="12289" width="8.85546875" style="2"/>
    <col min="12290" max="12290" width="7.7109375" style="2" customWidth="1"/>
    <col min="12291" max="12291" width="41.140625" style="2" customWidth="1"/>
    <col min="12292" max="12292" width="7.28515625" style="2" customWidth="1"/>
    <col min="12293" max="12293" width="7.140625" style="2" customWidth="1"/>
    <col min="12294" max="12294" width="12.28515625" style="2" customWidth="1"/>
    <col min="12295" max="12295" width="18.7109375" style="2" customWidth="1"/>
    <col min="12296" max="12545" width="8.85546875" style="2"/>
    <col min="12546" max="12546" width="7.7109375" style="2" customWidth="1"/>
    <col min="12547" max="12547" width="41.140625" style="2" customWidth="1"/>
    <col min="12548" max="12548" width="7.28515625" style="2" customWidth="1"/>
    <col min="12549" max="12549" width="7.140625" style="2" customWidth="1"/>
    <col min="12550" max="12550" width="12.28515625" style="2" customWidth="1"/>
    <col min="12551" max="12551" width="18.7109375" style="2" customWidth="1"/>
    <col min="12552" max="12801" width="8.85546875" style="2"/>
    <col min="12802" max="12802" width="7.7109375" style="2" customWidth="1"/>
    <col min="12803" max="12803" width="41.140625" style="2" customWidth="1"/>
    <col min="12804" max="12804" width="7.28515625" style="2" customWidth="1"/>
    <col min="12805" max="12805" width="7.140625" style="2" customWidth="1"/>
    <col min="12806" max="12806" width="12.28515625" style="2" customWidth="1"/>
    <col min="12807" max="12807" width="18.7109375" style="2" customWidth="1"/>
    <col min="12808" max="13057" width="8.85546875" style="2"/>
    <col min="13058" max="13058" width="7.7109375" style="2" customWidth="1"/>
    <col min="13059" max="13059" width="41.140625" style="2" customWidth="1"/>
    <col min="13060" max="13060" width="7.28515625" style="2" customWidth="1"/>
    <col min="13061" max="13061" width="7.140625" style="2" customWidth="1"/>
    <col min="13062" max="13062" width="12.28515625" style="2" customWidth="1"/>
    <col min="13063" max="13063" width="18.7109375" style="2" customWidth="1"/>
    <col min="13064" max="13313" width="8.85546875" style="2"/>
    <col min="13314" max="13314" width="7.7109375" style="2" customWidth="1"/>
    <col min="13315" max="13315" width="41.140625" style="2" customWidth="1"/>
    <col min="13316" max="13316" width="7.28515625" style="2" customWidth="1"/>
    <col min="13317" max="13317" width="7.140625" style="2" customWidth="1"/>
    <col min="13318" max="13318" width="12.28515625" style="2" customWidth="1"/>
    <col min="13319" max="13319" width="18.7109375" style="2" customWidth="1"/>
    <col min="13320" max="13569" width="8.85546875" style="2"/>
    <col min="13570" max="13570" width="7.7109375" style="2" customWidth="1"/>
    <col min="13571" max="13571" width="41.140625" style="2" customWidth="1"/>
    <col min="13572" max="13572" width="7.28515625" style="2" customWidth="1"/>
    <col min="13573" max="13573" width="7.140625" style="2" customWidth="1"/>
    <col min="13574" max="13574" width="12.28515625" style="2" customWidth="1"/>
    <col min="13575" max="13575" width="18.7109375" style="2" customWidth="1"/>
    <col min="13576" max="13825" width="8.85546875" style="2"/>
    <col min="13826" max="13826" width="7.7109375" style="2" customWidth="1"/>
    <col min="13827" max="13827" width="41.140625" style="2" customWidth="1"/>
    <col min="13828" max="13828" width="7.28515625" style="2" customWidth="1"/>
    <col min="13829" max="13829" width="7.140625" style="2" customWidth="1"/>
    <col min="13830" max="13830" width="12.28515625" style="2" customWidth="1"/>
    <col min="13831" max="13831" width="18.7109375" style="2" customWidth="1"/>
    <col min="13832" max="14081" width="8.85546875" style="2"/>
    <col min="14082" max="14082" width="7.7109375" style="2" customWidth="1"/>
    <col min="14083" max="14083" width="41.140625" style="2" customWidth="1"/>
    <col min="14084" max="14084" width="7.28515625" style="2" customWidth="1"/>
    <col min="14085" max="14085" width="7.140625" style="2" customWidth="1"/>
    <col min="14086" max="14086" width="12.28515625" style="2" customWidth="1"/>
    <col min="14087" max="14087" width="18.7109375" style="2" customWidth="1"/>
    <col min="14088" max="14337" width="8.85546875" style="2"/>
    <col min="14338" max="14338" width="7.7109375" style="2" customWidth="1"/>
    <col min="14339" max="14339" width="41.140625" style="2" customWidth="1"/>
    <col min="14340" max="14340" width="7.28515625" style="2" customWidth="1"/>
    <col min="14341" max="14341" width="7.140625" style="2" customWidth="1"/>
    <col min="14342" max="14342" width="12.28515625" style="2" customWidth="1"/>
    <col min="14343" max="14343" width="18.7109375" style="2" customWidth="1"/>
    <col min="14344" max="14593" width="8.85546875" style="2"/>
    <col min="14594" max="14594" width="7.7109375" style="2" customWidth="1"/>
    <col min="14595" max="14595" width="41.140625" style="2" customWidth="1"/>
    <col min="14596" max="14596" width="7.28515625" style="2" customWidth="1"/>
    <col min="14597" max="14597" width="7.140625" style="2" customWidth="1"/>
    <col min="14598" max="14598" width="12.28515625" style="2" customWidth="1"/>
    <col min="14599" max="14599" width="18.7109375" style="2" customWidth="1"/>
    <col min="14600" max="14849" width="8.85546875" style="2"/>
    <col min="14850" max="14850" width="7.7109375" style="2" customWidth="1"/>
    <col min="14851" max="14851" width="41.140625" style="2" customWidth="1"/>
    <col min="14852" max="14852" width="7.28515625" style="2" customWidth="1"/>
    <col min="14853" max="14853" width="7.140625" style="2" customWidth="1"/>
    <col min="14854" max="14854" width="12.28515625" style="2" customWidth="1"/>
    <col min="14855" max="14855" width="18.7109375" style="2" customWidth="1"/>
    <col min="14856" max="15105" width="8.85546875" style="2"/>
    <col min="15106" max="15106" width="7.7109375" style="2" customWidth="1"/>
    <col min="15107" max="15107" width="41.140625" style="2" customWidth="1"/>
    <col min="15108" max="15108" width="7.28515625" style="2" customWidth="1"/>
    <col min="15109" max="15109" width="7.140625" style="2" customWidth="1"/>
    <col min="15110" max="15110" width="12.28515625" style="2" customWidth="1"/>
    <col min="15111" max="15111" width="18.7109375" style="2" customWidth="1"/>
    <col min="15112" max="15361" width="8.85546875" style="2"/>
    <col min="15362" max="15362" width="7.7109375" style="2" customWidth="1"/>
    <col min="15363" max="15363" width="41.140625" style="2" customWidth="1"/>
    <col min="15364" max="15364" width="7.28515625" style="2" customWidth="1"/>
    <col min="15365" max="15365" width="7.140625" style="2" customWidth="1"/>
    <col min="15366" max="15366" width="12.28515625" style="2" customWidth="1"/>
    <col min="15367" max="15367" width="18.7109375" style="2" customWidth="1"/>
    <col min="15368" max="15617" width="8.85546875" style="2"/>
    <col min="15618" max="15618" width="7.7109375" style="2" customWidth="1"/>
    <col min="15619" max="15619" width="41.140625" style="2" customWidth="1"/>
    <col min="15620" max="15620" width="7.28515625" style="2" customWidth="1"/>
    <col min="15621" max="15621" width="7.140625" style="2" customWidth="1"/>
    <col min="15622" max="15622" width="12.28515625" style="2" customWidth="1"/>
    <col min="15623" max="15623" width="18.7109375" style="2" customWidth="1"/>
    <col min="15624" max="15873" width="8.85546875" style="2"/>
    <col min="15874" max="15874" width="7.7109375" style="2" customWidth="1"/>
    <col min="15875" max="15875" width="41.140625" style="2" customWidth="1"/>
    <col min="15876" max="15876" width="7.28515625" style="2" customWidth="1"/>
    <col min="15877" max="15877" width="7.140625" style="2" customWidth="1"/>
    <col min="15878" max="15878" width="12.28515625" style="2" customWidth="1"/>
    <col min="15879" max="15879" width="18.7109375" style="2" customWidth="1"/>
    <col min="15880" max="16129" width="8.85546875" style="2"/>
    <col min="16130" max="16130" width="7.7109375" style="2" customWidth="1"/>
    <col min="16131" max="16131" width="41.140625" style="2" customWidth="1"/>
    <col min="16132" max="16132" width="7.28515625" style="2" customWidth="1"/>
    <col min="16133" max="16133" width="7.140625" style="2" customWidth="1"/>
    <col min="16134" max="16134" width="12.28515625" style="2" customWidth="1"/>
    <col min="16135" max="16135" width="18.7109375" style="2" customWidth="1"/>
    <col min="16136" max="16384" width="8.85546875" style="2"/>
  </cols>
  <sheetData>
    <row r="2" spans="2:8" ht="46.5" customHeight="1">
      <c r="B2" s="28" t="s">
        <v>36</v>
      </c>
      <c r="C2" s="29"/>
      <c r="D2" s="29"/>
      <c r="E2" s="29"/>
      <c r="F2" s="29"/>
      <c r="G2" s="29"/>
      <c r="H2" s="29"/>
    </row>
    <row r="3" spans="2:8" ht="25.5" customHeight="1">
      <c r="B3" s="11" t="s">
        <v>12</v>
      </c>
      <c r="C3" s="11" t="s">
        <v>6</v>
      </c>
      <c r="D3" s="11" t="s">
        <v>7</v>
      </c>
      <c r="E3" s="12" t="s">
        <v>8</v>
      </c>
      <c r="F3" s="13" t="s">
        <v>37</v>
      </c>
      <c r="G3" s="14" t="s">
        <v>38</v>
      </c>
      <c r="H3" s="14" t="s">
        <v>39</v>
      </c>
    </row>
    <row r="4" spans="2:8">
      <c r="B4" s="3"/>
      <c r="C4" s="7"/>
      <c r="D4" s="3"/>
      <c r="E4" s="15"/>
      <c r="F4" s="16"/>
      <c r="G4" s="17"/>
      <c r="H4" s="17"/>
    </row>
    <row r="5" spans="2:8" ht="45">
      <c r="B5" s="3"/>
      <c r="C5" s="2" t="s">
        <v>40</v>
      </c>
      <c r="D5" s="3"/>
      <c r="E5" s="15"/>
      <c r="F5" s="16"/>
      <c r="G5" s="17"/>
      <c r="H5" s="17"/>
    </row>
    <row r="6" spans="2:8">
      <c r="B6" s="3"/>
      <c r="C6" s="7"/>
      <c r="D6" s="3"/>
      <c r="E6" s="15"/>
      <c r="F6" s="16"/>
      <c r="G6" s="17"/>
      <c r="H6" s="17"/>
    </row>
    <row r="7" spans="2:8">
      <c r="B7" s="3" t="s">
        <v>0</v>
      </c>
      <c r="C7" s="7" t="s">
        <v>28</v>
      </c>
      <c r="D7" s="3"/>
      <c r="E7" s="15"/>
      <c r="F7" s="9"/>
      <c r="G7" s="17"/>
      <c r="H7" s="17"/>
    </row>
    <row r="8" spans="2:8" ht="20.100000000000001" customHeight="1">
      <c r="B8" s="30">
        <v>1</v>
      </c>
      <c r="C8" s="31" t="s">
        <v>46</v>
      </c>
      <c r="D8" s="30" t="s">
        <v>16</v>
      </c>
      <c r="E8" s="32">
        <v>1</v>
      </c>
      <c r="F8" s="33">
        <v>2000000</v>
      </c>
      <c r="G8" s="33">
        <f t="shared" ref="G8:G10" si="0">F8*E8</f>
        <v>2000000</v>
      </c>
      <c r="H8" s="33">
        <f t="shared" ref="H8:H36" si="1">G8/3800</f>
        <v>526.31578947368416</v>
      </c>
    </row>
    <row r="9" spans="2:8">
      <c r="B9" s="3"/>
      <c r="C9" s="7"/>
      <c r="D9" s="3"/>
      <c r="E9" s="15"/>
      <c r="F9" s="18"/>
      <c r="G9" s="17">
        <f t="shared" si="0"/>
        <v>0</v>
      </c>
      <c r="H9" s="17">
        <f t="shared" si="1"/>
        <v>0</v>
      </c>
    </row>
    <row r="10" spans="2:8">
      <c r="B10" s="3" t="s">
        <v>1</v>
      </c>
      <c r="C10" s="7" t="s">
        <v>44</v>
      </c>
      <c r="D10" s="3"/>
      <c r="E10" s="15"/>
      <c r="F10" s="18"/>
      <c r="G10" s="17">
        <f t="shared" si="0"/>
        <v>0</v>
      </c>
      <c r="H10" s="17">
        <f t="shared" si="1"/>
        <v>0</v>
      </c>
    </row>
    <row r="11" spans="2:8">
      <c r="B11" s="30">
        <v>1</v>
      </c>
      <c r="C11" s="31" t="s">
        <v>45</v>
      </c>
      <c r="D11" s="30" t="s">
        <v>16</v>
      </c>
      <c r="E11" s="32">
        <v>1</v>
      </c>
      <c r="F11" s="33">
        <v>1000000</v>
      </c>
      <c r="G11" s="33">
        <f t="shared" ref="G11:G36" si="2">F11*E11</f>
        <v>1000000</v>
      </c>
      <c r="H11" s="33">
        <f t="shared" si="1"/>
        <v>263.15789473684208</v>
      </c>
    </row>
    <row r="12" spans="2:8">
      <c r="B12" s="30">
        <v>2</v>
      </c>
      <c r="C12" s="31" t="s">
        <v>14</v>
      </c>
      <c r="D12" s="30" t="s">
        <v>16</v>
      </c>
      <c r="E12" s="32">
        <v>1</v>
      </c>
      <c r="F12" s="33">
        <v>12000000</v>
      </c>
      <c r="G12" s="33">
        <f t="shared" si="2"/>
        <v>12000000</v>
      </c>
      <c r="H12" s="33">
        <f t="shared" si="1"/>
        <v>3157.8947368421054</v>
      </c>
    </row>
    <row r="13" spans="2:8">
      <c r="B13" s="30">
        <v>3</v>
      </c>
      <c r="C13" s="31" t="s">
        <v>43</v>
      </c>
      <c r="D13" s="30" t="s">
        <v>16</v>
      </c>
      <c r="E13" s="32">
        <v>1</v>
      </c>
      <c r="F13" s="33">
        <v>2300000</v>
      </c>
      <c r="G13" s="33">
        <f t="shared" si="2"/>
        <v>2300000</v>
      </c>
      <c r="H13" s="33">
        <f t="shared" si="1"/>
        <v>605.26315789473688</v>
      </c>
    </row>
    <row r="14" spans="2:8">
      <c r="B14" s="3"/>
      <c r="C14" s="4"/>
      <c r="D14" s="3"/>
      <c r="E14" s="15"/>
      <c r="F14" s="18"/>
      <c r="G14" s="17">
        <f t="shared" si="2"/>
        <v>0</v>
      </c>
      <c r="H14" s="17">
        <f t="shared" si="1"/>
        <v>0</v>
      </c>
    </row>
    <row r="15" spans="2:8">
      <c r="B15" s="3" t="s">
        <v>2</v>
      </c>
      <c r="C15" s="7" t="s">
        <v>23</v>
      </c>
      <c r="D15" s="3"/>
      <c r="E15" s="15"/>
      <c r="F15" s="18"/>
      <c r="G15" s="17">
        <f t="shared" si="2"/>
        <v>0</v>
      </c>
      <c r="H15" s="17">
        <f t="shared" si="1"/>
        <v>0</v>
      </c>
    </row>
    <row r="16" spans="2:8">
      <c r="B16" s="30">
        <v>1</v>
      </c>
      <c r="C16" s="31" t="s">
        <v>15</v>
      </c>
      <c r="D16" s="30" t="s">
        <v>13</v>
      </c>
      <c r="E16" s="32">
        <v>125</v>
      </c>
      <c r="F16" s="33">
        <v>55000</v>
      </c>
      <c r="G16" s="33">
        <f t="shared" si="2"/>
        <v>6875000</v>
      </c>
      <c r="H16" s="33">
        <f t="shared" si="1"/>
        <v>1809.2105263157894</v>
      </c>
    </row>
    <row r="17" spans="2:8">
      <c r="B17" s="3"/>
      <c r="C17" s="4"/>
      <c r="D17" s="3"/>
      <c r="E17" s="15"/>
      <c r="F17" s="18"/>
      <c r="G17" s="17">
        <f t="shared" si="2"/>
        <v>0</v>
      </c>
      <c r="H17" s="17">
        <f t="shared" si="1"/>
        <v>0</v>
      </c>
    </row>
    <row r="18" spans="2:8">
      <c r="B18" s="3" t="s">
        <v>3</v>
      </c>
      <c r="C18" s="7" t="s">
        <v>18</v>
      </c>
      <c r="D18" s="3"/>
      <c r="E18" s="15"/>
      <c r="F18" s="18"/>
      <c r="G18" s="17">
        <f t="shared" si="2"/>
        <v>0</v>
      </c>
      <c r="H18" s="17">
        <f t="shared" si="1"/>
        <v>0</v>
      </c>
    </row>
    <row r="19" spans="2:8">
      <c r="B19" s="30">
        <v>1</v>
      </c>
      <c r="C19" s="31" t="s">
        <v>19</v>
      </c>
      <c r="D19" s="30" t="s">
        <v>16</v>
      </c>
      <c r="E19" s="32">
        <v>1</v>
      </c>
      <c r="F19" s="33">
        <v>3000000</v>
      </c>
      <c r="G19" s="33">
        <f t="shared" si="2"/>
        <v>3000000</v>
      </c>
      <c r="H19" s="33">
        <f t="shared" si="1"/>
        <v>789.47368421052636</v>
      </c>
    </row>
    <row r="20" spans="2:8">
      <c r="B20" s="30">
        <v>2</v>
      </c>
      <c r="C20" s="31" t="s">
        <v>20</v>
      </c>
      <c r="D20" s="30" t="s">
        <v>16</v>
      </c>
      <c r="E20" s="32">
        <v>1</v>
      </c>
      <c r="F20" s="33">
        <v>10000000</v>
      </c>
      <c r="G20" s="33">
        <f t="shared" si="2"/>
        <v>10000000</v>
      </c>
      <c r="H20" s="33">
        <f t="shared" si="1"/>
        <v>2631.5789473684213</v>
      </c>
    </row>
    <row r="21" spans="2:8">
      <c r="B21" s="30">
        <v>3</v>
      </c>
      <c r="C21" s="31" t="s">
        <v>21</v>
      </c>
      <c r="D21" s="30" t="s">
        <v>16</v>
      </c>
      <c r="E21" s="32">
        <v>1</v>
      </c>
      <c r="F21" s="33">
        <v>3500000</v>
      </c>
      <c r="G21" s="33">
        <f t="shared" si="2"/>
        <v>3500000</v>
      </c>
      <c r="H21" s="33">
        <f t="shared" si="1"/>
        <v>921.0526315789474</v>
      </c>
    </row>
    <row r="22" spans="2:8">
      <c r="B22" s="30">
        <v>4</v>
      </c>
      <c r="C22" s="31" t="s">
        <v>26</v>
      </c>
      <c r="D22" s="30" t="s">
        <v>16</v>
      </c>
      <c r="E22" s="32">
        <v>1</v>
      </c>
      <c r="F22" s="33">
        <v>5000000</v>
      </c>
      <c r="G22" s="33">
        <f t="shared" si="2"/>
        <v>5000000</v>
      </c>
      <c r="H22" s="33">
        <f t="shared" si="1"/>
        <v>1315.7894736842106</v>
      </c>
    </row>
    <row r="23" spans="2:8">
      <c r="B23" s="30">
        <v>5</v>
      </c>
      <c r="C23" s="31" t="s">
        <v>41</v>
      </c>
      <c r="D23" s="30" t="s">
        <v>16</v>
      </c>
      <c r="E23" s="32">
        <v>1</v>
      </c>
      <c r="F23" s="33">
        <v>5000000</v>
      </c>
      <c r="G23" s="33">
        <f t="shared" ref="G23" si="3">F23*E23</f>
        <v>5000000</v>
      </c>
      <c r="H23" s="33">
        <f t="shared" si="1"/>
        <v>1315.7894736842106</v>
      </c>
    </row>
    <row r="24" spans="2:8">
      <c r="B24" s="3"/>
      <c r="C24" s="4"/>
      <c r="D24" s="3"/>
      <c r="E24" s="15"/>
      <c r="F24" s="18"/>
      <c r="G24" s="17"/>
      <c r="H24" s="17"/>
    </row>
    <row r="25" spans="2:8">
      <c r="B25" s="3" t="s">
        <v>4</v>
      </c>
      <c r="C25" s="7" t="s">
        <v>22</v>
      </c>
      <c r="D25" s="3"/>
      <c r="E25" s="15"/>
      <c r="F25" s="18"/>
      <c r="G25" s="17"/>
      <c r="H25" s="17"/>
    </row>
    <row r="26" spans="2:8">
      <c r="B26" s="30">
        <v>1</v>
      </c>
      <c r="C26" s="31" t="s">
        <v>24</v>
      </c>
      <c r="D26" s="30" t="s">
        <v>13</v>
      </c>
      <c r="E26" s="32">
        <v>16</v>
      </c>
      <c r="F26" s="33">
        <v>300000</v>
      </c>
      <c r="G26" s="33">
        <f t="shared" si="2"/>
        <v>4800000</v>
      </c>
      <c r="H26" s="33">
        <f t="shared" si="1"/>
        <v>1263.1578947368421</v>
      </c>
    </row>
    <row r="27" spans="2:8">
      <c r="B27" s="30">
        <v>2</v>
      </c>
      <c r="C27" s="31" t="s">
        <v>25</v>
      </c>
      <c r="D27" s="30" t="s">
        <v>16</v>
      </c>
      <c r="E27" s="32">
        <v>1</v>
      </c>
      <c r="F27" s="33">
        <v>1500000</v>
      </c>
      <c r="G27" s="33">
        <f t="shared" si="2"/>
        <v>1500000</v>
      </c>
      <c r="H27" s="33">
        <f t="shared" si="1"/>
        <v>394.73684210526318</v>
      </c>
    </row>
    <row r="28" spans="2:8">
      <c r="B28" s="30">
        <v>3</v>
      </c>
      <c r="C28" s="31" t="s">
        <v>11</v>
      </c>
      <c r="D28" s="30" t="s">
        <v>13</v>
      </c>
      <c r="E28" s="32">
        <v>8</v>
      </c>
      <c r="F28" s="33">
        <v>450000</v>
      </c>
      <c r="G28" s="33">
        <f t="shared" si="2"/>
        <v>3600000</v>
      </c>
      <c r="H28" s="33">
        <f t="shared" si="1"/>
        <v>947.36842105263156</v>
      </c>
    </row>
    <row r="29" spans="2:8">
      <c r="B29" s="30">
        <v>4</v>
      </c>
      <c r="C29" s="31" t="s">
        <v>27</v>
      </c>
      <c r="D29" s="30" t="s">
        <v>13</v>
      </c>
      <c r="E29" s="32">
        <v>1</v>
      </c>
      <c r="F29" s="33">
        <v>5000000</v>
      </c>
      <c r="G29" s="33">
        <f t="shared" si="2"/>
        <v>5000000</v>
      </c>
      <c r="H29" s="33">
        <f t="shared" si="1"/>
        <v>1315.7894736842106</v>
      </c>
    </row>
    <row r="30" spans="2:8" ht="30">
      <c r="B30" s="30">
        <v>5</v>
      </c>
      <c r="C30" s="31" t="s">
        <v>42</v>
      </c>
      <c r="D30" s="30" t="s">
        <v>13</v>
      </c>
      <c r="E30" s="32">
        <v>1</v>
      </c>
      <c r="F30" s="33">
        <v>2000000</v>
      </c>
      <c r="G30" s="33">
        <f t="shared" si="2"/>
        <v>2000000</v>
      </c>
      <c r="H30" s="33">
        <f t="shared" si="1"/>
        <v>526.31578947368416</v>
      </c>
    </row>
    <row r="31" spans="2:8">
      <c r="B31" s="3"/>
      <c r="C31" s="4"/>
      <c r="D31" s="3"/>
      <c r="E31" s="15"/>
      <c r="F31" s="18"/>
      <c r="G31" s="17">
        <f t="shared" si="2"/>
        <v>0</v>
      </c>
      <c r="H31" s="17">
        <f t="shared" si="1"/>
        <v>0</v>
      </c>
    </row>
    <row r="32" spans="2:8">
      <c r="B32" s="3" t="s">
        <v>5</v>
      </c>
      <c r="C32" s="7" t="s">
        <v>29</v>
      </c>
      <c r="D32" s="3"/>
      <c r="E32" s="15"/>
      <c r="F32" s="18"/>
      <c r="G32" s="17">
        <f t="shared" si="2"/>
        <v>0</v>
      </c>
      <c r="H32" s="17">
        <f t="shared" si="1"/>
        <v>0</v>
      </c>
    </row>
    <row r="33" spans="2:8">
      <c r="B33" s="3">
        <v>1</v>
      </c>
      <c r="C33" s="4" t="s">
        <v>30</v>
      </c>
      <c r="D33" s="3" t="s">
        <v>16</v>
      </c>
      <c r="E33" s="15">
        <v>4</v>
      </c>
      <c r="F33" s="18">
        <v>800000</v>
      </c>
      <c r="G33" s="17">
        <f t="shared" si="2"/>
        <v>3200000</v>
      </c>
      <c r="H33" s="17">
        <f t="shared" si="1"/>
        <v>842.10526315789468</v>
      </c>
    </row>
    <row r="34" spans="2:8" ht="30">
      <c r="B34" s="3">
        <v>2</v>
      </c>
      <c r="C34" s="4" t="s">
        <v>47</v>
      </c>
      <c r="D34" s="3" t="s">
        <v>16</v>
      </c>
      <c r="E34" s="15">
        <v>1</v>
      </c>
      <c r="F34" s="18">
        <v>3000000</v>
      </c>
      <c r="G34" s="17">
        <f>F34*E34</f>
        <v>3000000</v>
      </c>
      <c r="H34" s="17">
        <f t="shared" si="1"/>
        <v>789.47368421052636</v>
      </c>
    </row>
    <row r="35" spans="2:8">
      <c r="B35" s="3">
        <v>3</v>
      </c>
      <c r="C35" s="4" t="s">
        <v>31</v>
      </c>
      <c r="D35" s="3" t="s">
        <v>16</v>
      </c>
      <c r="E35" s="15">
        <v>1</v>
      </c>
      <c r="F35" s="18">
        <v>500000</v>
      </c>
      <c r="G35" s="17">
        <f t="shared" si="2"/>
        <v>500000</v>
      </c>
      <c r="H35" s="17">
        <f t="shared" si="1"/>
        <v>131.57894736842104</v>
      </c>
    </row>
    <row r="36" spans="2:8">
      <c r="B36" s="3">
        <v>4</v>
      </c>
      <c r="C36" s="4" t="s">
        <v>32</v>
      </c>
      <c r="D36" s="3" t="s">
        <v>16</v>
      </c>
      <c r="E36" s="15">
        <v>4</v>
      </c>
      <c r="F36" s="18">
        <v>650000</v>
      </c>
      <c r="G36" s="17">
        <f t="shared" si="2"/>
        <v>2600000</v>
      </c>
      <c r="H36" s="17">
        <f t="shared" si="1"/>
        <v>684.21052631578948</v>
      </c>
    </row>
    <row r="37" spans="2:8">
      <c r="B37" s="3">
        <v>5</v>
      </c>
      <c r="C37" s="4" t="s">
        <v>17</v>
      </c>
      <c r="D37" s="3" t="s">
        <v>16</v>
      </c>
      <c r="E37" s="15">
        <v>1</v>
      </c>
      <c r="F37" s="18">
        <v>2000000</v>
      </c>
      <c r="G37" s="17">
        <f>F37*E37</f>
        <v>2000000</v>
      </c>
      <c r="H37" s="17">
        <f>G37/3800</f>
        <v>526.31578947368416</v>
      </c>
    </row>
    <row r="38" spans="2:8">
      <c r="B38" s="3"/>
      <c r="C38" s="4"/>
      <c r="D38" s="3"/>
      <c r="E38" s="15"/>
      <c r="F38" s="18"/>
      <c r="G38" s="17"/>
      <c r="H38" s="17"/>
    </row>
    <row r="39" spans="2:8" ht="15.75" thickBot="1">
      <c r="B39" s="8"/>
      <c r="C39" s="10" t="s">
        <v>9</v>
      </c>
      <c r="D39" s="8"/>
      <c r="E39" s="19"/>
      <c r="F39" s="20"/>
      <c r="G39" s="21">
        <f>SUM(G5:G38)</f>
        <v>78875000</v>
      </c>
      <c r="H39" s="21">
        <f>SUM(H5:H38)</f>
        <v>20756.578947368416</v>
      </c>
    </row>
    <row r="40" spans="2:8" ht="15.75" thickTop="1">
      <c r="B40" s="3"/>
      <c r="C40" s="4"/>
      <c r="D40" s="3"/>
      <c r="E40" s="15"/>
      <c r="F40" s="18"/>
      <c r="G40" s="17"/>
      <c r="H40" s="17"/>
    </row>
    <row r="41" spans="2:8">
      <c r="B41" s="3"/>
      <c r="C41" s="4" t="s">
        <v>33</v>
      </c>
      <c r="D41" s="3"/>
      <c r="E41" s="15"/>
      <c r="F41" s="18"/>
      <c r="G41" s="17">
        <f>6%*G39</f>
        <v>4732500</v>
      </c>
      <c r="H41" s="17">
        <f>6%*H39</f>
        <v>1245.394736842105</v>
      </c>
    </row>
    <row r="42" spans="2:8">
      <c r="B42" s="3"/>
      <c r="C42" s="4"/>
      <c r="D42" s="3"/>
      <c r="E42" s="15"/>
      <c r="F42" s="18"/>
      <c r="G42" s="17"/>
      <c r="H42" s="17"/>
    </row>
    <row r="43" spans="2:8" ht="15.75" thickBot="1">
      <c r="B43" s="8"/>
      <c r="C43" s="10" t="s">
        <v>35</v>
      </c>
      <c r="D43" s="8"/>
      <c r="E43" s="19"/>
      <c r="F43" s="20"/>
      <c r="G43" s="21">
        <f>SUM(G39:G42)</f>
        <v>83607500</v>
      </c>
      <c r="H43" s="21">
        <f>SUM(H39:H42)</f>
        <v>22001.973684210519</v>
      </c>
    </row>
    <row r="44" spans="2:8" ht="15.75" thickTop="1">
      <c r="B44" s="3"/>
      <c r="C44" s="4"/>
      <c r="D44" s="3"/>
      <c r="E44" s="15"/>
      <c r="F44" s="18"/>
      <c r="G44" s="17"/>
      <c r="H44" s="17"/>
    </row>
    <row r="45" spans="2:8">
      <c r="B45" s="3"/>
      <c r="C45" s="4" t="s">
        <v>34</v>
      </c>
      <c r="D45" s="3"/>
      <c r="E45" s="15"/>
      <c r="F45" s="18"/>
      <c r="G45" s="17">
        <f>18%*G43</f>
        <v>15049350</v>
      </c>
      <c r="H45" s="17">
        <f>18%*H43</f>
        <v>3960.3552631578932</v>
      </c>
    </row>
    <row r="46" spans="2:8">
      <c r="B46" s="3"/>
      <c r="C46" s="4"/>
      <c r="D46" s="3"/>
      <c r="E46" s="15"/>
      <c r="F46" s="18"/>
      <c r="G46" s="17"/>
      <c r="H46" s="17"/>
    </row>
    <row r="47" spans="2:8" s="22" customFormat="1" ht="15.75" thickBot="1">
      <c r="B47" s="5"/>
      <c r="C47" s="6" t="s">
        <v>10</v>
      </c>
      <c r="D47" s="5"/>
      <c r="E47" s="23"/>
      <c r="F47" s="24"/>
      <c r="G47" s="25">
        <f>SUM(G43:G46)</f>
        <v>98656850</v>
      </c>
      <c r="H47" s="25">
        <f>SUM(H43:H46)</f>
        <v>25962.328947368413</v>
      </c>
    </row>
    <row r="48" spans="2:8" ht="15.75" thickTop="1"/>
  </sheetData>
  <mergeCells count="1">
    <mergeCell ref="B2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FarmFreeze</vt:lpstr>
      <vt:lpstr>FarmFreeze!Print_Area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Administrator</cp:lastModifiedBy>
  <cp:lastPrinted>2024-01-29T11:17:59Z</cp:lastPrinted>
  <dcterms:created xsi:type="dcterms:W3CDTF">2018-02-22T16:39:30Z</dcterms:created>
  <dcterms:modified xsi:type="dcterms:W3CDTF">2025-09-17T13:55:15Z</dcterms:modified>
</cp:coreProperties>
</file>